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pa de Cotaçã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164" formatCode="General"/>
    <numFmt numFmtId="165" formatCode="dd/mm/yyyy"/>
    <numFmt numFmtId="166" formatCode="&quot;R$ &quot;#,##0.00"/>
    <numFmt numFmtId="167" formatCode="0"/>
    <numFmt numFmtId="168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9"/>
  <sheetViews>
    <sheetView workbookViewId="0" rightToLeft="0"/>
  </sheetViews>
  <sheetData>
    <row r="1">
      <c r="A1" s="1" t="str">
        <v>MAPA DE COTAÇÃO DE PREÇOS - EMPREITADA</v>
      </c>
    </row>
    <row r="2">
      <c r="A2" s="1" t="str">
        <v>Cadastro e comparação de fornecedores para contratação de empreitada</v>
      </c>
    </row>
    <row r="4">
      <c r="A4" s="1" t="str">
        <v>Obra / Projeto:</v>
      </c>
    </row>
    <row r="5">
      <c r="A5" s="1" t="str">
        <v>Descrição do Serviço a Contratar:</v>
      </c>
    </row>
    <row r="6">
      <c r="A6" s="1" t="str">
        <v>Data da Cotação:</v>
      </c>
      <c r="G6" s="1" t="str">
        <v>Responsável pela Cotação:</v>
      </c>
    </row>
    <row r="8">
      <c r="A8" s="1" t="str">
        <v>Nº</v>
      </c>
      <c r="B8" s="1" t="str">
        <v>CNPJ</v>
      </c>
      <c r="C8" s="1" t="str">
        <v>Razão Social / Nome da Empresa</v>
      </c>
      <c r="D8" s="1" t="str">
        <v>Endereço Completo</v>
      </c>
      <c r="E8" s="1" t="str">
        <v>Telefone</v>
      </c>
      <c r="F8" s="1" t="str">
        <v>E-mail</v>
      </c>
      <c r="G8" s="1" t="str">
        <v>Contato / Responsável</v>
      </c>
      <c r="H8" s="1" t="str">
        <v>Descrição do Serviço / Empreitada</v>
      </c>
      <c r="I8" s="1" t="str">
        <v>Valor da Empreitada (R$)</v>
      </c>
      <c r="J8" s="1" t="str">
        <v>Data de Início</v>
      </c>
      <c r="K8" s="1" t="str">
        <v>Data de Término</v>
      </c>
      <c r="L8" s="1" t="str">
        <v>Prazo de Execução (dias)</v>
      </c>
      <c r="M8" s="1" t="str">
        <v>Condições de Pagamento</v>
      </c>
      <c r="N8" s="1" t="str">
        <v>Observações</v>
      </c>
    </row>
    <row r="9">
      <c r="A9" s="1">
        <v>1</v>
      </c>
      <c r="B9" s="1" t="str">
        <v>12.345.678/0001-90</v>
      </c>
      <c r="C9" s="1" t="str">
        <v>Construtora Modelo Ltda.</v>
      </c>
      <c r="D9" s="1" t="str">
        <v>Rua das Palmeiras, 250, Centro, Campina Grande - PB, CEP 58400-000</v>
      </c>
      <c r="E9" s="1" t="str">
        <v>(83) 99999-1234</v>
      </c>
      <c r="F9" s="1" t="str">
        <v>contato@construtoramodelo.com.br</v>
      </c>
      <c r="G9" s="1" t="str">
        <v>João Silva</v>
      </c>
      <c r="H9" s="1" t="str">
        <v>Execução de alvenaria e reboco - Bloco A</v>
      </c>
      <c r="I9" s="1">
        <v>35000</v>
      </c>
      <c r="J9" s="1" t="str">
        <v>2026-09-01</v>
      </c>
      <c r="K9" s="1" t="str">
        <v>2026-11-30</v>
      </c>
      <c r="L9" s="1">
        <f>K9-J9</f>
        <v>90</v>
      </c>
      <c r="M9" s="1" t="str">
        <v>30/60/90 dias</v>
      </c>
      <c r="N9" s="1" t="str">
        <v>Exemplo - substitua pelos dados reais</v>
      </c>
    </row>
    <row r="10">
      <c r="A10" s="1">
        <v>1</v>
      </c>
      <c r="L10" s="1" t="str">
        <f>IF(AND(J10&lt;&gt;"",K10&lt;&gt;""),K10-J10,"")</f>
        <v/>
      </c>
    </row>
    <row r="11">
      <c r="A11" s="1">
        <v>2</v>
      </c>
      <c r="L11" s="1" t="str">
        <f>IF(AND(J11&lt;&gt;"",K11&lt;&gt;""),K11-J11,"")</f>
        <v/>
      </c>
    </row>
    <row r="12">
      <c r="A12" s="1">
        <v>3</v>
      </c>
      <c r="L12" s="1" t="str">
        <f>IF(AND(J12&lt;&gt;"",K12&lt;&gt;""),K12-J12,"")</f>
        <v/>
      </c>
    </row>
    <row r="13">
      <c r="A13" s="1">
        <v>4</v>
      </c>
      <c r="L13" s="1" t="str">
        <f>IF(AND(J13&lt;&gt;"",K13&lt;&gt;""),K13-J13,"")</f>
        <v/>
      </c>
    </row>
    <row r="14">
      <c r="A14" s="1">
        <v>5</v>
      </c>
      <c r="L14" s="1" t="str">
        <f>IF(AND(J14&lt;&gt;"",K14&lt;&gt;""),K14-J14,"")</f>
        <v/>
      </c>
    </row>
    <row r="15">
      <c r="A15" s="1">
        <v>6</v>
      </c>
      <c r="L15" s="1" t="str">
        <f>IF(AND(J15&lt;&gt;"",K15&lt;&gt;""),K15-J15,"")</f>
        <v/>
      </c>
    </row>
    <row r="16">
      <c r="A16" s="1">
        <v>7</v>
      </c>
      <c r="L16" s="1" t="str">
        <f>IF(AND(J16&lt;&gt;"",K16&lt;&gt;""),K16-J16,"")</f>
        <v/>
      </c>
    </row>
    <row r="17">
      <c r="A17" s="1">
        <v>8</v>
      </c>
      <c r="L17" s="1" t="str">
        <f>IF(AND(J17&lt;&gt;"",K17&lt;&gt;""),K17-J17,"")</f>
        <v/>
      </c>
    </row>
    <row r="18">
      <c r="A18" s="1">
        <v>9</v>
      </c>
      <c r="L18" s="1" t="str">
        <f>IF(AND(J18&lt;&gt;"",K18&lt;&gt;""),K18-J18,"")</f>
        <v/>
      </c>
    </row>
    <row r="20">
      <c r="A20" s="1" t="str">
        <v>RESUMO DA COTAÇÃO</v>
      </c>
    </row>
    <row r="21">
      <c r="A21" s="1" t="str">
        <v>Menor Valor Orçado (R$):</v>
      </c>
      <c r="C21" s="1">
        <f>MIN(I9:I18)</f>
        <v>35000</v>
      </c>
    </row>
    <row r="22">
      <c r="A22" s="1" t="str">
        <v>Fornecedor com Menor Valor:</v>
      </c>
      <c r="C22" s="1" t="str">
        <f>INDEX(C9:C18,MATCH(MIN(I9:I18),I9:I18,0))</f>
        <v>Construtora Modelo Ltda.</v>
      </c>
    </row>
    <row r="23">
      <c r="A23" s="1" t="str">
        <v>Maior Valor Orçado (R$):</v>
      </c>
      <c r="C23" s="1">
        <f>MAX(I9:I18)</f>
        <v>35000</v>
      </c>
    </row>
    <row r="24">
      <c r="A24" s="1" t="str">
        <v>Nº de Fornecedores Cotados:</v>
      </c>
      <c r="C24" s="1">
        <f>COUNT(I9:I18)</f>
        <v>1</v>
      </c>
    </row>
    <row r="26">
      <c r="A26" s="1" t="str">
        <v>LEGENDA:</v>
      </c>
    </row>
    <row r="27">
      <c r="A27" s="1" t="str">
        <v xml:space="preserve"> </v>
      </c>
      <c r="C27" s="1" t="str">
        <v>Células a preencher com os dados de cada fornecedor</v>
      </c>
    </row>
    <row r="28">
      <c r="A28" s="1" t="str">
        <v xml:space="preserve"> </v>
      </c>
      <c r="C28" s="1" t="str">
        <v>Cálculo automático (fórmula) - não editar</v>
      </c>
    </row>
    <row r="29">
      <c r="C29" s="1" t="str">
        <v>A linha 9 (itálico cinza) é um exemplo de preenchimento - substitua pelos dados reais ou exclua a linha.</v>
      </c>
    </row>
  </sheetData>
  <mergeCells count="13">
    <mergeCell ref="A1:N1"/>
    <mergeCell ref="A2:N2"/>
    <mergeCell ref="C4:N4"/>
    <mergeCell ref="C5:N5"/>
    <mergeCell ref="C6:F6"/>
    <mergeCell ref="I6:N6"/>
    <mergeCell ref="A20:C20"/>
    <mergeCell ref="C21:E21"/>
    <mergeCell ref="C22:G22"/>
    <mergeCell ref="C23:E23"/>
    <mergeCell ref="C24:E24"/>
    <mergeCell ref="A27:B27"/>
    <mergeCell ref="A28:B28"/>
  </mergeCells>
  <pageMargins left="0.75" right="0.75" top="1" bottom="1" header="0.511811023622047" footer="0.511811023622047"/>
  <ignoredErrors>
    <ignoredError numberStoredAsText="1" sqref="A1:N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15.0000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Mapa de Cotação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2026-08-06T16:40:42Z</dcterms:created>
  <dcterms:modified xsi:type="dcterms:W3CDTF">2026-08-06T16:40:42Z</dcterms:modified>
  <cp:revision>0</cp:revision>
  <dc:creator>openpyxl</dc:creator>
  <dc:language>en-US</dc:language>
</cp:coreProperties>
</file>